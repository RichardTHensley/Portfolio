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ff02a472a815c6/Desktop/GitHub Projects/Excel Dashboard 3100/"/>
    </mc:Choice>
  </mc:AlternateContent>
  <xr:revisionPtr revIDLastSave="482" documentId="13_ncr:1_{36F13466-A7E1-48D1-8512-9F0C0F5EFA44}" xr6:coauthVersionLast="47" xr6:coauthVersionMax="47" xr10:uidLastSave="{1730BEFF-E5D7-42F8-8B42-6B9328B675DC}"/>
  <bookViews>
    <workbookView xWindow="22932" yWindow="-108" windowWidth="23256" windowHeight="12456" activeTab="2" xr2:uid="{9D5FE4DC-699C-47BF-BB8C-602DF2A3E7B3}"/>
  </bookViews>
  <sheets>
    <sheet name="Final Data" sheetId="49" r:id="rId1"/>
    <sheet name="Data Summary" sheetId="50" r:id="rId2"/>
    <sheet name="Main Page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50" l="1"/>
  <c r="J10" i="50"/>
  <c r="J9" i="50"/>
  <c r="J8" i="50"/>
  <c r="J12" i="50"/>
  <c r="I12" i="50"/>
  <c r="H12" i="50"/>
  <c r="I11" i="50"/>
  <c r="I10" i="50"/>
  <c r="I9" i="50"/>
  <c r="I8" i="50"/>
  <c r="H11" i="50"/>
  <c r="H10" i="50"/>
  <c r="H9" i="50"/>
  <c r="H8" i="50"/>
  <c r="E9" i="50"/>
  <c r="E8" i="50"/>
  <c r="B11" i="50"/>
  <c r="B10" i="50"/>
  <c r="B9" i="50"/>
  <c r="B8" i="50"/>
</calcChain>
</file>

<file path=xl/sharedStrings.xml><?xml version="1.0" encoding="utf-8"?>
<sst xmlns="http://schemas.openxmlformats.org/spreadsheetml/2006/main" count="202" uniqueCount="84">
  <si>
    <t>Total Land/Water</t>
  </si>
  <si>
    <t>State</t>
  </si>
  <si>
    <t>Number of Households</t>
  </si>
  <si>
    <t>Republican or Democrat2</t>
  </si>
  <si>
    <t>College Attendence in %</t>
  </si>
  <si>
    <t>GDP</t>
  </si>
  <si>
    <t>Alabama</t>
  </si>
  <si>
    <t>R</t>
  </si>
  <si>
    <t>Alaska</t>
  </si>
  <si>
    <t>Arizona</t>
  </si>
  <si>
    <t>D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</si>
  <si>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</si>
  <si>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</si>
  <si>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</si>
  <si>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</si>
  <si>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</si>
  <si>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</si>
  <si>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</si>
  <si>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</si>
  <si>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</si>
  <si>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</si>
  <si>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</si>
  <si>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</si>
  <si>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</si>
  <si>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</si>
  <si>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</si>
  <si>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</si>
  <si>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</si>
  <si>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</si>
  <si>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</si>
  <si>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</si>
  <si>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</si>
  <si>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</si>
  <si>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</si>
  <si>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</si>
  <si>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</si>
  <si>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</si>
  <si>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</si>
  <si>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</si>
  <si>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</si>
  <si>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</si>
  <si>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</si>
  <si>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</si>
  <si>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</si>
  <si>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</si>
  <si>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</si>
  <si>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</si>
  <si>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</si>
  <si>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</si>
  <si>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</si>
  <si>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</si>
  <si>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</si>
  <si>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</si>
  <si>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</si>
  <si>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</si>
  <si>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</si>
  <si>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</si>
  <si>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</si>
  <si>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</si>
  <si>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US Region</t>
  </si>
  <si>
    <t>SOUTH</t>
  </si>
  <si>
    <t>WEST</t>
  </si>
  <si>
    <t>NORTHEAST</t>
  </si>
  <si>
    <t>MIDWEST</t>
  </si>
  <si>
    <t>Average</t>
  </si>
  <si>
    <t>Min</t>
  </si>
  <si>
    <t>Max</t>
  </si>
  <si>
    <t xml:space="preserve">"Get Data" will prompt you to select two CSV files named 'HensleyProjectData1' and 'HensleyProjectData2' </t>
  </si>
  <si>
    <t>Data from both sheets will be put together and placed in the 'Final Data' Sheet</t>
  </si>
  <si>
    <t xml:space="preserve">If there is already a 'Final Data' Sheet, program will replace with new 'Final Data' Sheet </t>
  </si>
  <si>
    <t>"Data Summary" will create a new sheet 'Data Summary' which will have relevant descriptive statistics gathered from 'Final Data'</t>
  </si>
  <si>
    <t>For Quantitative Variables the following statistics are provide: Average, Min, Max, and Standard Deviation (Count is not included in quantiative variables because total will always be 51)</t>
  </si>
  <si>
    <t>NE</t>
  </si>
  <si>
    <t>MW</t>
  </si>
  <si>
    <t>S</t>
  </si>
  <si>
    <t>W</t>
  </si>
  <si>
    <t>Total</t>
  </si>
  <si>
    <t>College_Admision</t>
  </si>
  <si>
    <t>Number_of_Households</t>
  </si>
  <si>
    <t>Total_Land/Water</t>
  </si>
  <si>
    <t>Stand_Dev</t>
  </si>
  <si>
    <t>Region_Count</t>
  </si>
  <si>
    <t>R_or_D_Count</t>
  </si>
  <si>
    <t>For Categorical Variables a count of each category is provided and a cross tabulation table is included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</si>
</sst>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Region Count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'Data Summary'!$A$8:$A$11</c:f>
              <c:strCache>
                <c:ptCount val="4"/>
                <c:pt idx="0">
                  <c:v>NORTHEAST</c:v>
                </c:pt>
                <c:pt idx="1">
                  <c:v>MIDWEST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'Data Summary'!$B$8:$B$11</c:f>
              <c:numCache>
                <c:formatCode>General</c:formatCode>
                <c:ptCount val="4"/>
                <c:pt idx="0">
                  <c:v>9</c:v>
                </c:pt>
                <c:pt idx="1">
                  <c:v>12</c:v>
                </c:pt>
                <c:pt idx="2">
                  <c:v>18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3-4106-B538-83DB8AA22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5155615"/>
        <c:axId val="1085885103"/>
      </c:barChart>
      <c:catAx>
        <c:axId val="1085155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5885103"/>
        <c:crosses val="autoZero"/>
        <c:auto val="1"/>
        <c:lblAlgn val="ctr"/>
        <c:lblOffset val="100"/>
        <c:noMultiLvlLbl val="0"/>
      </c:catAx>
      <c:valAx>
        <c:axId val="10858851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515561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69215</xdr:colOff>
      <xdr:row>11</xdr:row>
      <xdr:rowOff>127000</xdr:rowOff>
    </xdr:from>
    <xdr:to>
      <xdr:col>5</xdr:col>
      <xdr:colOff>194310</xdr:colOff>
      <xdr:row>23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</xdr:row>
          <xdr:rowOff>19050</xdr:rowOff>
        </xdr:from>
        <xdr:to>
          <xdr:col>2</xdr:col>
          <xdr:colOff>638175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28575</xdr:rowOff>
        </xdr:from>
        <xdr:to>
          <xdr:col>2</xdr:col>
          <xdr:colOff>628650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23812</xdr:colOff>
      <xdr:row>9</xdr:row>
      <xdr:rowOff>52386</xdr:rowOff>
    </xdr:from>
    <xdr:to>
      <xdr:col>12</xdr:col>
      <xdr:colOff>338137</xdr:colOff>
      <xdr:row>28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71512" y="1681161"/>
          <a:ext cx="7439025" cy="33956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Citations:</a:t>
          </a:r>
        </a:p>
        <a:p>
          <a:r>
            <a:rPr lang="en-US"/>
            <a:t>Duffin, E. (2022, October 5). </a:t>
          </a:r>
          <a:r>
            <a:rPr lang="en-US" i="1"/>
            <a:t>Number of households in the United States in 2021, by state</a:t>
          </a:r>
          <a:r>
            <a:rPr lang="en-US"/>
            <a:t>. Statistica. Retrieved January 20, 2023, from https://www-statista-com.du.idm.oclc.org/statistics/242258/number-of-us-households-by-state/</a:t>
          </a:r>
        </a:p>
        <a:p>
          <a:endParaRPr lang="en-US" sz="1100"/>
        </a:p>
        <a:p>
          <a:r>
            <a:rPr lang="en-US" sz="1100"/>
            <a:t>US Census Bureau. (September 30, 2011). Total land and water area of the United States by state and territory [Graph]. In Statista. Retrieved February 03, 2023, from https://www-statista-com.du.idm.oclc.org/statistics/203923/united-states-land-area-by-state/</a:t>
          </a:r>
        </a:p>
        <a:p>
          <a:endParaRPr lang="en-US" sz="1100"/>
        </a:p>
        <a:p>
          <a:r>
            <a:rPr lang="en-US" sz="1100"/>
            <a:t>BEA. (March 31, 2022). Gross Domestic Product (GDP) of the United States in 2021, by state (in billion current U.S. dollars) [Graph]. In Statista. Retrieved February 03, 2023, from https://www-statista-com.du.idm.oclc.org/statistics/248023/us-gross-domestic-product-gdp-by-state/</a:t>
          </a:r>
        </a:p>
        <a:p>
          <a:endParaRPr lang="en-US" sz="1100"/>
        </a:p>
        <a:p>
          <a:r>
            <a:rPr lang="en-US" sz="1100"/>
            <a:t>NCES. (May 31, 2012). Share of 20 to 24 year olds enrolled in college or other higher education in the United States in 2010, by state [Graph]. In Statista. Retrieved February 03, 2023, from https://www-statista-com.du.idm.oclc.org/statistics/236111/higher-education-enrollment-rates-by-us-state/</a:t>
          </a:r>
        </a:p>
        <a:p>
          <a:endParaRPr lang="en-US" sz="1100"/>
        </a:p>
        <a:p>
          <a:r>
            <a:rPr lang="en-US" sz="1100"/>
            <a:t>Gallup. (February 22, 2019). Identification with political parties in the United States in 2018, by state [Graph]. In Statista. Retrieved February 03, 2023, from https://www-statista-com.du.idm.oclc.org/statistics/1080003/political-party-identification-state-us/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C089D-0C61-46BC-8E7B-6286E39E1861}">
  <dimension ref="A1:G52"/>
  <sheetViews>
    <sheetView workbookViewId="0"/>
  </sheetViews>
  <sheetFormatPr defaultRowHeight="15" x14ac:dyDescent="0.25"/>
  <sheetData>
    <row r="1" spans="1:7" x14ac:dyDescent="0.25">
      <c r="A1" t="s">
        <v>1</v>
      </c>
      <c r="B1" s="1" t="s">
        <v>4</v>
      </c>
      <c r="C1" s="2" t="s">
        <v>5</v>
      </c>
      <c r="D1" s="2" t="s">
        <v>59</v>
      </c>
      <c r="E1" s="2" t="s">
        <v>2</v>
      </c>
      <c r="F1" s="2" t="s">
        <v>0</v>
      </c>
      <c r="G1" s="2" t="s">
        <v>3</v>
      </c>
    </row>
    <row r="2" spans="1:7" x14ac:dyDescent="0.25">
      <c r="A2" t="s">
        <v>6</v>
      </c>
      <c r="B2">
        <v>40</v>
      </c>
      <c r="C2">
        <v>247.09</v>
      </c>
      <c r="D2" t="s">
        <v>60</v>
      </c>
      <c r="E2">
        <v>1967.56</v>
      </c>
      <c r="F2">
        <v>664988</v>
      </c>
      <c r="G2" t="s">
        <v>7</v>
      </c>
    </row>
    <row r="3" spans="1:7" x14ac:dyDescent="0.25">
      <c r="A3" t="s">
        <v>8</v>
      </c>
      <c r="B3">
        <v>30.9</v>
      </c>
      <c r="C3">
        <v>54.97</v>
      </c>
      <c r="D3" t="s">
        <v>61</v>
      </c>
      <c r="E3">
        <v>271.31</v>
      </c>
      <c r="F3">
        <v>268597</v>
      </c>
      <c r="G3" t="s">
        <v>7</v>
      </c>
    </row>
    <row r="4" spans="1:7" x14ac:dyDescent="0.25">
      <c r="A4" t="s">
        <v>9</v>
      </c>
      <c r="B4">
        <v>35.799999999999997</v>
      </c>
      <c r="C4">
        <v>411.19</v>
      </c>
      <c r="D4" t="s">
        <v>61</v>
      </c>
      <c r="E4">
        <v>2817.72</v>
      </c>
      <c r="F4">
        <v>163694</v>
      </c>
      <c r="G4" t="s">
        <v>10</v>
      </c>
    </row>
    <row r="5" spans="1:7" x14ac:dyDescent="0.25">
      <c r="A5" t="s">
        <v>11</v>
      </c>
      <c r="B5">
        <v>37.799999999999997</v>
      </c>
      <c r="C5">
        <v>144.55000000000001</v>
      </c>
      <c r="D5" t="s">
        <v>60</v>
      </c>
      <c r="E5">
        <v>1183.68</v>
      </c>
      <c r="F5">
        <v>147039</v>
      </c>
      <c r="G5" t="s">
        <v>7</v>
      </c>
    </row>
    <row r="6" spans="1:7" x14ac:dyDescent="0.25">
      <c r="A6" t="s">
        <v>12</v>
      </c>
      <c r="B6">
        <v>44.5</v>
      </c>
      <c r="C6">
        <v>3356.63</v>
      </c>
      <c r="D6" t="s">
        <v>61</v>
      </c>
      <c r="E6">
        <v>13429.06</v>
      </c>
      <c r="F6">
        <v>121590</v>
      </c>
      <c r="G6" t="s">
        <v>10</v>
      </c>
    </row>
    <row r="7" spans="1:7" x14ac:dyDescent="0.25">
      <c r="A7" t="s">
        <v>13</v>
      </c>
      <c r="B7">
        <v>42.5</v>
      </c>
      <c r="C7">
        <v>421.94</v>
      </c>
      <c r="D7" t="s">
        <v>61</v>
      </c>
      <c r="E7">
        <v>2313.04</v>
      </c>
      <c r="F7">
        <v>113990</v>
      </c>
      <c r="G7" t="s">
        <v>10</v>
      </c>
    </row>
    <row r="8" spans="1:7" x14ac:dyDescent="0.25">
      <c r="A8" t="s">
        <v>14</v>
      </c>
      <c r="B8">
        <v>46.5</v>
      </c>
      <c r="C8">
        <v>296.5</v>
      </c>
      <c r="D8" t="s">
        <v>62</v>
      </c>
      <c r="E8">
        <v>1428.31</v>
      </c>
      <c r="F8">
        <v>110572</v>
      </c>
      <c r="G8" t="s">
        <v>10</v>
      </c>
    </row>
    <row r="9" spans="1:7" x14ac:dyDescent="0.25">
      <c r="A9" t="s">
        <v>15</v>
      </c>
      <c r="B9">
        <v>44.1</v>
      </c>
      <c r="C9">
        <v>80.72</v>
      </c>
      <c r="D9" t="s">
        <v>60</v>
      </c>
      <c r="E9">
        <v>395.66</v>
      </c>
      <c r="F9">
        <v>104094</v>
      </c>
      <c r="G9" t="s">
        <v>10</v>
      </c>
    </row>
    <row r="10" spans="1:7" x14ac:dyDescent="0.25">
      <c r="A10" t="s">
        <v>16</v>
      </c>
      <c r="B10">
        <v>43.1</v>
      </c>
      <c r="C10">
        <v>152.01</v>
      </c>
      <c r="D10" t="s">
        <v>60</v>
      </c>
      <c r="E10">
        <v>319.57</v>
      </c>
      <c r="F10">
        <v>98379</v>
      </c>
      <c r="G10" t="s">
        <v>10</v>
      </c>
    </row>
    <row r="11" spans="1:7" x14ac:dyDescent="0.25">
      <c r="A11" t="s">
        <v>17</v>
      </c>
      <c r="B11">
        <v>43.6</v>
      </c>
      <c r="C11">
        <v>1226.3</v>
      </c>
      <c r="D11" t="s">
        <v>60</v>
      </c>
      <c r="E11">
        <v>8565.33</v>
      </c>
      <c r="F11">
        <v>97812</v>
      </c>
      <c r="G11" t="s">
        <v>10</v>
      </c>
    </row>
    <row r="12" spans="1:7" x14ac:dyDescent="0.25">
      <c r="A12" t="s">
        <v>18</v>
      </c>
      <c r="B12">
        <v>38.9</v>
      </c>
      <c r="C12">
        <v>683.3</v>
      </c>
      <c r="D12" t="s">
        <v>60</v>
      </c>
      <c r="E12">
        <v>4001.11</v>
      </c>
      <c r="F12">
        <v>96713</v>
      </c>
      <c r="G12" t="s">
        <v>10</v>
      </c>
    </row>
    <row r="13" spans="1:7" x14ac:dyDescent="0.25">
      <c r="A13" t="s">
        <v>19</v>
      </c>
      <c r="B13">
        <v>36.700000000000003</v>
      </c>
      <c r="C13">
        <v>90.06</v>
      </c>
      <c r="D13" t="s">
        <v>61</v>
      </c>
      <c r="E13">
        <v>490.08</v>
      </c>
      <c r="F13">
        <v>86935</v>
      </c>
      <c r="G13" t="s">
        <v>7</v>
      </c>
    </row>
    <row r="14" spans="1:7" x14ac:dyDescent="0.25">
      <c r="A14" t="s">
        <v>20</v>
      </c>
      <c r="B14">
        <v>37.200000000000003</v>
      </c>
      <c r="C14">
        <v>94.32</v>
      </c>
      <c r="D14" t="s">
        <v>61</v>
      </c>
      <c r="E14">
        <v>693.88</v>
      </c>
      <c r="F14">
        <v>84897</v>
      </c>
      <c r="G14" t="s">
        <v>10</v>
      </c>
    </row>
    <row r="15" spans="1:7" x14ac:dyDescent="0.25">
      <c r="A15" t="s">
        <v>21</v>
      </c>
      <c r="B15">
        <v>44.7</v>
      </c>
      <c r="C15">
        <v>938.35</v>
      </c>
      <c r="D15" t="s">
        <v>63</v>
      </c>
      <c r="E15">
        <v>4991.6400000000003</v>
      </c>
      <c r="F15">
        <v>83568</v>
      </c>
      <c r="G15" t="s">
        <v>7</v>
      </c>
    </row>
    <row r="16" spans="1:7" x14ac:dyDescent="0.25">
      <c r="A16" t="s">
        <v>22</v>
      </c>
      <c r="B16">
        <v>42.8</v>
      </c>
      <c r="C16">
        <v>420.34</v>
      </c>
      <c r="D16" t="s">
        <v>63</v>
      </c>
      <c r="E16">
        <v>2680.69</v>
      </c>
      <c r="F16">
        <v>82278</v>
      </c>
      <c r="G16" t="s">
        <v>10</v>
      </c>
    </row>
    <row r="17" spans="1:7" x14ac:dyDescent="0.25">
      <c r="A17" t="s">
        <v>23</v>
      </c>
      <c r="B17">
        <v>46</v>
      </c>
      <c r="C17">
        <v>219.84</v>
      </c>
      <c r="D17" t="s">
        <v>63</v>
      </c>
      <c r="E17">
        <v>1300.47</v>
      </c>
      <c r="F17">
        <v>77349</v>
      </c>
      <c r="G17" t="s">
        <v>7</v>
      </c>
    </row>
    <row r="18" spans="1:7" x14ac:dyDescent="0.25">
      <c r="A18" t="s">
        <v>24</v>
      </c>
      <c r="B18">
        <v>42.8</v>
      </c>
      <c r="C18">
        <v>192.3</v>
      </c>
      <c r="D18" t="s">
        <v>63</v>
      </c>
      <c r="E18">
        <v>1159.03</v>
      </c>
      <c r="F18">
        <v>77116</v>
      </c>
      <c r="G18" t="s">
        <v>7</v>
      </c>
    </row>
    <row r="19" spans="1:7" x14ac:dyDescent="0.25">
      <c r="A19" t="s">
        <v>25</v>
      </c>
      <c r="B19">
        <v>35.4</v>
      </c>
      <c r="C19">
        <v>234.5</v>
      </c>
      <c r="D19" t="s">
        <v>60</v>
      </c>
      <c r="E19">
        <v>1785.68</v>
      </c>
      <c r="F19">
        <v>71298</v>
      </c>
      <c r="G19" t="s">
        <v>7</v>
      </c>
    </row>
    <row r="20" spans="1:7" x14ac:dyDescent="0.25">
      <c r="A20" t="s">
        <v>26</v>
      </c>
      <c r="B20">
        <v>36.5</v>
      </c>
      <c r="C20">
        <v>255.31</v>
      </c>
      <c r="D20" t="s">
        <v>60</v>
      </c>
      <c r="E20">
        <v>1783.92</v>
      </c>
      <c r="F20">
        <v>70698</v>
      </c>
      <c r="G20" t="s">
        <v>10</v>
      </c>
    </row>
    <row r="21" spans="1:7" x14ac:dyDescent="0.25">
      <c r="A21" t="s">
        <v>27</v>
      </c>
      <c r="B21">
        <v>42</v>
      </c>
      <c r="C21">
        <v>76.06</v>
      </c>
      <c r="D21" t="s">
        <v>62</v>
      </c>
      <c r="E21">
        <v>593.63</v>
      </c>
      <c r="F21">
        <v>69899</v>
      </c>
      <c r="G21" t="s">
        <v>10</v>
      </c>
    </row>
    <row r="22" spans="1:7" x14ac:dyDescent="0.25">
      <c r="A22" t="s">
        <v>28</v>
      </c>
      <c r="B22">
        <v>43</v>
      </c>
      <c r="C22">
        <v>438.23</v>
      </c>
      <c r="D22" t="s">
        <v>60</v>
      </c>
      <c r="E22">
        <v>2355.65</v>
      </c>
      <c r="F22">
        <v>69702</v>
      </c>
      <c r="G22" t="s">
        <v>10</v>
      </c>
    </row>
    <row r="23" spans="1:7" x14ac:dyDescent="0.25">
      <c r="A23" t="s">
        <v>29</v>
      </c>
      <c r="B23">
        <v>51.2</v>
      </c>
      <c r="C23">
        <v>636.51</v>
      </c>
      <c r="D23" t="s">
        <v>62</v>
      </c>
      <c r="E23">
        <v>2759.02</v>
      </c>
      <c r="F23">
        <v>65758</v>
      </c>
      <c r="G23" t="s">
        <v>10</v>
      </c>
    </row>
    <row r="24" spans="1:7" x14ac:dyDescent="0.25">
      <c r="A24" t="s">
        <v>30</v>
      </c>
      <c r="B24">
        <v>47.7</v>
      </c>
      <c r="C24">
        <v>568.41</v>
      </c>
      <c r="D24" t="s">
        <v>63</v>
      </c>
      <c r="E24">
        <v>4051.8</v>
      </c>
      <c r="F24">
        <v>65496</v>
      </c>
      <c r="G24" t="s">
        <v>10</v>
      </c>
    </row>
    <row r="25" spans="1:7" x14ac:dyDescent="0.25">
      <c r="A25" t="s">
        <v>31</v>
      </c>
      <c r="B25">
        <v>46.4</v>
      </c>
      <c r="C25">
        <v>412</v>
      </c>
      <c r="D25" t="s">
        <v>63</v>
      </c>
      <c r="E25">
        <v>2281.0300000000002</v>
      </c>
      <c r="F25">
        <v>59425</v>
      </c>
      <c r="G25" t="s">
        <v>7</v>
      </c>
    </row>
    <row r="26" spans="1:7" x14ac:dyDescent="0.25">
      <c r="A26" t="s">
        <v>32</v>
      </c>
      <c r="B26">
        <v>39.9</v>
      </c>
      <c r="C26">
        <v>125.11</v>
      </c>
      <c r="D26" t="s">
        <v>60</v>
      </c>
      <c r="E26">
        <v>1129.6099999999999</v>
      </c>
      <c r="F26">
        <v>57916</v>
      </c>
      <c r="G26" t="s">
        <v>7</v>
      </c>
    </row>
    <row r="27" spans="1:7" x14ac:dyDescent="0.25">
      <c r="A27" t="s">
        <v>33</v>
      </c>
      <c r="B27">
        <v>41.3</v>
      </c>
      <c r="C27">
        <v>359.95</v>
      </c>
      <c r="D27" t="s">
        <v>63</v>
      </c>
      <c r="E27">
        <v>2468.73</v>
      </c>
      <c r="F27">
        <v>56273</v>
      </c>
      <c r="G27" t="s">
        <v>7</v>
      </c>
    </row>
    <row r="28" spans="1:7" x14ac:dyDescent="0.25">
      <c r="A28" t="s">
        <v>34</v>
      </c>
      <c r="B28">
        <v>38.799999999999997</v>
      </c>
      <c r="C28">
        <v>59.3</v>
      </c>
      <c r="D28" t="s">
        <v>61</v>
      </c>
      <c r="E28">
        <v>448.95</v>
      </c>
      <c r="F28">
        <v>54555</v>
      </c>
      <c r="G28" t="s">
        <v>7</v>
      </c>
    </row>
    <row r="29" spans="1:7" x14ac:dyDescent="0.25">
      <c r="A29" t="s">
        <v>35</v>
      </c>
      <c r="B29">
        <v>47.3</v>
      </c>
      <c r="C29">
        <v>150.38999999999999</v>
      </c>
      <c r="D29" t="s">
        <v>63</v>
      </c>
      <c r="E29">
        <v>785.98</v>
      </c>
      <c r="F29">
        <v>53819</v>
      </c>
      <c r="G29" t="s">
        <v>10</v>
      </c>
    </row>
    <row r="30" spans="1:7" x14ac:dyDescent="0.25">
      <c r="A30" t="s">
        <v>36</v>
      </c>
      <c r="B30">
        <v>29.9</v>
      </c>
      <c r="C30">
        <v>192.96</v>
      </c>
      <c r="D30" t="s">
        <v>61</v>
      </c>
      <c r="E30">
        <v>1191.3800000000001</v>
      </c>
      <c r="F30">
        <v>53178</v>
      </c>
      <c r="G30" t="s">
        <v>10</v>
      </c>
    </row>
    <row r="31" spans="1:7" x14ac:dyDescent="0.25">
      <c r="A31" t="s">
        <v>37</v>
      </c>
      <c r="B31">
        <v>43.9</v>
      </c>
      <c r="C31">
        <v>98.24</v>
      </c>
      <c r="D31" t="s">
        <v>62</v>
      </c>
      <c r="E31">
        <v>548.03</v>
      </c>
      <c r="F31">
        <v>52420</v>
      </c>
      <c r="G31" t="s">
        <v>10</v>
      </c>
    </row>
    <row r="32" spans="1:7" x14ac:dyDescent="0.25">
      <c r="A32" t="s">
        <v>38</v>
      </c>
      <c r="B32">
        <v>45.7</v>
      </c>
      <c r="C32">
        <v>672.09</v>
      </c>
      <c r="D32" t="s">
        <v>62</v>
      </c>
      <c r="E32">
        <v>3497.95</v>
      </c>
      <c r="F32">
        <v>51988</v>
      </c>
      <c r="G32" t="s">
        <v>10</v>
      </c>
    </row>
    <row r="33" spans="1:7" x14ac:dyDescent="0.25">
      <c r="A33" t="s">
        <v>39</v>
      </c>
      <c r="B33">
        <v>39.299999999999997</v>
      </c>
      <c r="C33">
        <v>108.93</v>
      </c>
      <c r="D33" t="s">
        <v>60</v>
      </c>
      <c r="E33">
        <v>834.01</v>
      </c>
      <c r="F33">
        <v>48432</v>
      </c>
      <c r="G33" t="s">
        <v>10</v>
      </c>
    </row>
    <row r="34" spans="1:7" x14ac:dyDescent="0.25">
      <c r="A34" t="s">
        <v>40</v>
      </c>
      <c r="B34">
        <v>46.1</v>
      </c>
      <c r="C34">
        <v>1853.93</v>
      </c>
      <c r="D34" t="s">
        <v>62</v>
      </c>
      <c r="E34">
        <v>7652.67</v>
      </c>
      <c r="F34">
        <v>46055</v>
      </c>
      <c r="G34" t="s">
        <v>7</v>
      </c>
    </row>
    <row r="35" spans="1:7" x14ac:dyDescent="0.25">
      <c r="A35" t="s">
        <v>41</v>
      </c>
      <c r="B35">
        <v>40.200000000000003</v>
      </c>
      <c r="C35">
        <v>654.99</v>
      </c>
      <c r="D35" t="s">
        <v>60</v>
      </c>
      <c r="E35">
        <v>4179.63</v>
      </c>
      <c r="F35">
        <v>44825</v>
      </c>
      <c r="G35" t="s">
        <v>7</v>
      </c>
    </row>
    <row r="36" spans="1:7" x14ac:dyDescent="0.25">
      <c r="A36" t="s">
        <v>42</v>
      </c>
      <c r="B36">
        <v>46.8</v>
      </c>
      <c r="C36">
        <v>63.39</v>
      </c>
      <c r="D36" t="s">
        <v>63</v>
      </c>
      <c r="E36">
        <v>322.51</v>
      </c>
      <c r="F36">
        <v>42775</v>
      </c>
      <c r="G36" t="s">
        <v>7</v>
      </c>
    </row>
    <row r="37" spans="1:7" x14ac:dyDescent="0.25">
      <c r="A37" t="s">
        <v>43</v>
      </c>
      <c r="B37">
        <v>44.3</v>
      </c>
      <c r="C37">
        <v>736.45</v>
      </c>
      <c r="D37" t="s">
        <v>63</v>
      </c>
      <c r="E37">
        <v>4832.92</v>
      </c>
      <c r="F37">
        <v>42144</v>
      </c>
      <c r="G37" t="s">
        <v>7</v>
      </c>
    </row>
    <row r="38" spans="1:7" x14ac:dyDescent="0.25">
      <c r="A38" t="s">
        <v>44</v>
      </c>
      <c r="B38">
        <v>37.700000000000003</v>
      </c>
      <c r="C38">
        <v>206.75</v>
      </c>
      <c r="D38" t="s">
        <v>60</v>
      </c>
      <c r="E38">
        <v>1547.97</v>
      </c>
      <c r="F38">
        <v>40411</v>
      </c>
      <c r="G38" t="s">
        <v>10</v>
      </c>
    </row>
    <row r="39" spans="1:7" x14ac:dyDescent="0.25">
      <c r="A39" t="s">
        <v>45</v>
      </c>
      <c r="B39">
        <v>41.2</v>
      </c>
      <c r="C39">
        <v>266.94</v>
      </c>
      <c r="D39" t="s">
        <v>61</v>
      </c>
      <c r="E39">
        <v>1702.6</v>
      </c>
      <c r="F39">
        <v>36417</v>
      </c>
      <c r="G39" t="s">
        <v>10</v>
      </c>
    </row>
    <row r="40" spans="1:7" x14ac:dyDescent="0.25">
      <c r="A40" t="s">
        <v>46</v>
      </c>
      <c r="B40">
        <v>46.4</v>
      </c>
      <c r="C40">
        <v>839.44</v>
      </c>
      <c r="D40" t="s">
        <v>62</v>
      </c>
      <c r="E40">
        <v>5228.96</v>
      </c>
      <c r="F40">
        <v>35384</v>
      </c>
      <c r="G40" t="s">
        <v>10</v>
      </c>
    </row>
    <row r="41" spans="1:7" x14ac:dyDescent="0.25">
      <c r="A41" t="s">
        <v>47</v>
      </c>
      <c r="B41">
        <v>50.2</v>
      </c>
      <c r="C41">
        <v>65.94</v>
      </c>
      <c r="D41" t="s">
        <v>62</v>
      </c>
      <c r="E41">
        <v>440.17</v>
      </c>
      <c r="F41">
        <v>32021</v>
      </c>
      <c r="G41" t="s">
        <v>7</v>
      </c>
    </row>
    <row r="42" spans="1:7" x14ac:dyDescent="0.25">
      <c r="A42" t="s">
        <v>48</v>
      </c>
      <c r="B42">
        <v>39.9</v>
      </c>
      <c r="C42">
        <v>270.08</v>
      </c>
      <c r="D42" t="s">
        <v>60</v>
      </c>
      <c r="E42">
        <v>2049.9699999999998</v>
      </c>
      <c r="F42">
        <v>24230</v>
      </c>
      <c r="G42" t="s">
        <v>7</v>
      </c>
    </row>
    <row r="43" spans="1:7" x14ac:dyDescent="0.25">
      <c r="A43" t="s">
        <v>49</v>
      </c>
      <c r="B43">
        <v>43.2</v>
      </c>
      <c r="C43">
        <v>61.21</v>
      </c>
      <c r="D43" t="s">
        <v>63</v>
      </c>
      <c r="E43">
        <v>356.89</v>
      </c>
      <c r="F43">
        <v>12406</v>
      </c>
      <c r="G43" t="s">
        <v>7</v>
      </c>
    </row>
    <row r="44" spans="1:7" x14ac:dyDescent="0.25">
      <c r="A44" t="s">
        <v>50</v>
      </c>
      <c r="B44">
        <v>37.5</v>
      </c>
      <c r="C44">
        <v>418.29</v>
      </c>
      <c r="D44" t="s">
        <v>60</v>
      </c>
      <c r="E44">
        <v>2770.4</v>
      </c>
      <c r="F44">
        <v>10926</v>
      </c>
      <c r="G44" t="s">
        <v>7</v>
      </c>
    </row>
    <row r="45" spans="1:7" x14ac:dyDescent="0.25">
      <c r="A45" t="s">
        <v>51</v>
      </c>
      <c r="B45">
        <v>37.6</v>
      </c>
      <c r="C45">
        <v>1985.32</v>
      </c>
      <c r="D45" t="s">
        <v>60</v>
      </c>
      <c r="E45">
        <v>10796.25</v>
      </c>
      <c r="F45">
        <v>10554</v>
      </c>
      <c r="G45" t="s">
        <v>7</v>
      </c>
    </row>
    <row r="46" spans="1:7" x14ac:dyDescent="0.25">
      <c r="A46" t="s">
        <v>52</v>
      </c>
      <c r="B46">
        <v>42.4</v>
      </c>
      <c r="C46">
        <v>220.34</v>
      </c>
      <c r="D46" t="s">
        <v>61</v>
      </c>
      <c r="E46">
        <v>1101.5</v>
      </c>
      <c r="F46">
        <v>9616</v>
      </c>
      <c r="G46" t="s">
        <v>10</v>
      </c>
    </row>
    <row r="47" spans="1:7" x14ac:dyDescent="0.25">
      <c r="A47" t="s">
        <v>53</v>
      </c>
      <c r="B47">
        <v>44.9</v>
      </c>
      <c r="C47">
        <v>36.17</v>
      </c>
      <c r="D47" t="s">
        <v>62</v>
      </c>
      <c r="E47">
        <v>270.16000000000003</v>
      </c>
      <c r="F47">
        <v>9348</v>
      </c>
      <c r="G47" t="s">
        <v>10</v>
      </c>
    </row>
    <row r="48" spans="1:7" x14ac:dyDescent="0.25">
      <c r="A48" t="s">
        <v>54</v>
      </c>
      <c r="B48">
        <v>48.3</v>
      </c>
      <c r="C48">
        <v>591.85</v>
      </c>
      <c r="D48" t="s">
        <v>60</v>
      </c>
      <c r="E48">
        <v>3331.46</v>
      </c>
      <c r="F48">
        <v>8723</v>
      </c>
      <c r="G48" t="s">
        <v>10</v>
      </c>
    </row>
    <row r="49" spans="1:7" x14ac:dyDescent="0.25">
      <c r="A49" t="s">
        <v>55</v>
      </c>
      <c r="B49">
        <v>40.6</v>
      </c>
      <c r="C49">
        <v>667.58</v>
      </c>
      <c r="D49" t="s">
        <v>61</v>
      </c>
      <c r="E49">
        <v>3022.26</v>
      </c>
      <c r="F49">
        <v>5544</v>
      </c>
      <c r="G49" t="s">
        <v>7</v>
      </c>
    </row>
    <row r="50" spans="1:7" x14ac:dyDescent="0.25">
      <c r="A50" t="s">
        <v>56</v>
      </c>
      <c r="B50">
        <v>37.200000000000003</v>
      </c>
      <c r="C50">
        <v>87.39</v>
      </c>
      <c r="D50" t="s">
        <v>60</v>
      </c>
      <c r="E50">
        <v>722.2</v>
      </c>
      <c r="F50">
        <v>5325</v>
      </c>
      <c r="G50" t="s">
        <v>10</v>
      </c>
    </row>
    <row r="51" spans="1:7" x14ac:dyDescent="0.25">
      <c r="A51" t="s">
        <v>57</v>
      </c>
      <c r="B51">
        <v>41.1</v>
      </c>
      <c r="C51">
        <v>365.93</v>
      </c>
      <c r="D51" t="s">
        <v>63</v>
      </c>
      <c r="E51">
        <v>2449.9699999999998</v>
      </c>
      <c r="F51">
        <v>2489</v>
      </c>
      <c r="G51" t="s">
        <v>7</v>
      </c>
    </row>
    <row r="52" spans="1:7" x14ac:dyDescent="0.25">
      <c r="A52" t="s">
        <v>58</v>
      </c>
      <c r="B52">
        <v>44.2</v>
      </c>
      <c r="C52">
        <v>41.62</v>
      </c>
      <c r="D52" t="s">
        <v>61</v>
      </c>
      <c r="E52">
        <v>242.76</v>
      </c>
      <c r="F52">
        <v>1975</v>
      </c>
      <c r="G52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76F5F-9EBA-43B5-94EB-BF9F15032E81}">
  <dimension ref="A1:J12"/>
  <sheetViews>
    <sheetView workbookViewId="0"/>
  </sheetViews>
  <sheetFormatPr defaultRowHeight="15" x14ac:dyDescent="0.25"/>
  <sheetData>
    <row r="1" spans="1:10" x14ac:dyDescent="0.25">
      <c r="A1" s="3" t="s">
        <v>77</v>
      </c>
      <c r="C1" s="3" t="s">
        <v>5</v>
      </c>
      <c r="E1" s="3" t="s">
        <v>78</v>
      </c>
      <c r="H1" s="3" t="s">
        <v>79</v>
      </c>
    </row>
    <row r="2" spans="1:10" x14ac:dyDescent="0.25">
      <c r="A2" s="4" t="s">
        <v>64</v>
      </c>
      <c r="B2">
        <v>41.882352941176471</v>
      </c>
      <c r="C2" s="4" t="s">
        <v>64</v>
      </c>
      <c r="D2">
        <v>448.07862745098021</v>
      </c>
      <c r="E2" s="4" t="s">
        <v>64</v>
      </c>
      <c r="F2">
        <v>2500.8776470588236</v>
      </c>
      <c r="H2" s="4" t="s">
        <v>64</v>
      </c>
      <c r="I2">
        <v>74541.882352941175</v>
      </c>
    </row>
    <row r="3" spans="1:10" x14ac:dyDescent="0.25">
      <c r="A3" s="4" t="s">
        <v>65</v>
      </c>
      <c r="B3">
        <v>51.2</v>
      </c>
      <c r="C3" s="4" t="s">
        <v>65</v>
      </c>
      <c r="D3">
        <v>3356.63</v>
      </c>
      <c r="E3" s="4" t="s">
        <v>65</v>
      </c>
      <c r="F3">
        <v>13429.06</v>
      </c>
      <c r="H3" s="4" t="s">
        <v>65</v>
      </c>
      <c r="I3">
        <v>664988</v>
      </c>
    </row>
    <row r="4" spans="1:10" x14ac:dyDescent="0.25">
      <c r="A4" s="4" t="s">
        <v>66</v>
      </c>
      <c r="B4">
        <v>29.9</v>
      </c>
      <c r="C4" s="4" t="s">
        <v>66</v>
      </c>
      <c r="D4">
        <v>36.17</v>
      </c>
      <c r="E4" s="4" t="s">
        <v>66</v>
      </c>
      <c r="F4">
        <v>242.76</v>
      </c>
      <c r="H4" s="4" t="s">
        <v>66</v>
      </c>
      <c r="I4">
        <v>1975</v>
      </c>
    </row>
    <row r="5" spans="1:10" x14ac:dyDescent="0.25">
      <c r="A5" s="4" t="s">
        <v>80</v>
      </c>
      <c r="B5">
        <v>4.4873914864808535</v>
      </c>
      <c r="C5" s="4" t="s">
        <v>80</v>
      </c>
      <c r="D5">
        <v>583.48561945268057</v>
      </c>
      <c r="E5" s="4" t="s">
        <v>80</v>
      </c>
      <c r="F5">
        <v>2686.5179299454448</v>
      </c>
      <c r="H5" s="4" t="s">
        <v>80</v>
      </c>
      <c r="I5">
        <v>96802.252629295166</v>
      </c>
    </row>
    <row r="7" spans="1:10" x14ac:dyDescent="0.25">
      <c r="A7" s="3" t="s">
        <v>81</v>
      </c>
      <c r="D7" s="3" t="s">
        <v>82</v>
      </c>
      <c r="H7" s="7" t="s">
        <v>7</v>
      </c>
      <c r="I7" s="7" t="s">
        <v>10</v>
      </c>
      <c r="J7" s="7" t="s">
        <v>76</v>
      </c>
    </row>
    <row r="8" spans="1:10" x14ac:dyDescent="0.25">
      <c r="A8" s="4" t="s">
        <v>62</v>
      </c>
      <c r="B8">
        <f>COUNTIF('Final Data'!$D$2:$D$52,A8)</f>
        <v>9</v>
      </c>
      <c r="D8" s="5" t="s">
        <v>7</v>
      </c>
      <c r="E8">
        <f>COUNTIF('Final Data'!G2:G52,D8)</f>
        <v>24</v>
      </c>
      <c r="G8" s="7" t="s">
        <v>72</v>
      </c>
      <c r="H8" s="6">
        <f>COUNTIFS('Final Data'!$D$2:$D$52,A8,'Final Data'!$G$2:$G$52,D8)</f>
        <v>2</v>
      </c>
      <c r="I8" s="6">
        <f>COUNTIFS('Final Data'!$D$2:$D$52,A8,'Final Data'!$G$2:$G$52,D9)</f>
        <v>7</v>
      </c>
      <c r="J8">
        <f>SUM(H8:I8)</f>
        <v>9</v>
      </c>
    </row>
    <row r="9" spans="1:10" x14ac:dyDescent="0.25">
      <c r="A9" s="4" t="s">
        <v>63</v>
      </c>
      <c r="B9">
        <f>COUNTIF('Final Data'!$D$2:$D$52,A9)</f>
        <v>12</v>
      </c>
      <c r="D9" s="5" t="s">
        <v>10</v>
      </c>
      <c r="E9">
        <f>COUNTIF('Final Data'!G2:G52,D9)</f>
        <v>27</v>
      </c>
      <c r="G9" s="7" t="s">
        <v>73</v>
      </c>
      <c r="H9" s="6">
        <f>COUNTIFS('Final Data'!$D$2:$D$52,A9,'Final Data'!$G$2:$G$52,$D$8)</f>
        <v>9</v>
      </c>
      <c r="I9" s="6">
        <f>COUNTIFS('Final Data'!$D$2:$D$52,A9,'Final Data'!$G$2:$G$52,$D$9)</f>
        <v>3</v>
      </c>
      <c r="J9">
        <f>SUM(H9:I9)</f>
        <v>12</v>
      </c>
    </row>
    <row r="10" spans="1:10" x14ac:dyDescent="0.25">
      <c r="A10" s="4" t="s">
        <v>60</v>
      </c>
      <c r="B10">
        <f>COUNTIF('Final Data'!$D$2:$D$52,A10)</f>
        <v>18</v>
      </c>
      <c r="G10" s="7" t="s">
        <v>74</v>
      </c>
      <c r="H10" s="6">
        <f>COUNTIFS('Final Data'!$D$2:$D$52,A10,'Final Data'!$G$2:$G$52,$D$8)</f>
        <v>8</v>
      </c>
      <c r="I10" s="6">
        <f>COUNTIFS('Final Data'!$D$2:$D$52,A10,'Final Data'!$G$2:$G$52,$D$9)</f>
        <v>10</v>
      </c>
      <c r="J10">
        <f>SUM(H10:I10)</f>
        <v>18</v>
      </c>
    </row>
    <row r="11" spans="1:10" x14ac:dyDescent="0.25">
      <c r="A11" s="4" t="s">
        <v>61</v>
      </c>
      <c r="B11">
        <f>COUNTIF('Final Data'!$D$2:$D$52,A11)</f>
        <v>12</v>
      </c>
      <c r="G11" s="7" t="s">
        <v>75</v>
      </c>
      <c r="H11" s="6">
        <f>COUNTIFS('Final Data'!$D$2:$D$52,A11,'Final Data'!$G$2:$G$52,$D$8)</f>
        <v>5</v>
      </c>
      <c r="I11" s="6">
        <f>COUNTIFS('Final Data'!$D$2:$D$52,A11,'Final Data'!$G$2:$G$52,$D$9)</f>
        <v>7</v>
      </c>
      <c r="J11">
        <f>SUM(H11:I11)</f>
        <v>12</v>
      </c>
    </row>
    <row r="12" spans="1:10" x14ac:dyDescent="0.25">
      <c r="G12" s="7" t="s">
        <v>76</v>
      </c>
      <c r="H12">
        <f>SUM(H8:H11)</f>
        <v>24</v>
      </c>
      <c r="I12">
        <f>SUM(I8:I11)</f>
        <v>27</v>
      </c>
      <c r="J12" s="3">
        <f>SUM(J8:J11)</f>
        <v>51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A274-43B0-41D0-90EC-317D30065246}">
  <sheetPr codeName="Sheet1"/>
  <dimension ref="E2:E8"/>
  <sheetViews>
    <sheetView tabSelected="1" workbookViewId="0">
      <selection activeCell="P11" sqref="P11"/>
    </sheetView>
  </sheetViews>
  <sheetFormatPr defaultRowHeight="15" x14ac:dyDescent="0.25"/>
  <sheetData>
    <row r="2" spans="5:5" x14ac:dyDescent="0.25">
      <c r="E2" t="s">
        <v>67</v>
      </c>
    </row>
    <row r="3" spans="5:5" x14ac:dyDescent="0.25">
      <c r="E3" t="s">
        <v>68</v>
      </c>
    </row>
    <row r="4" spans="5:5" x14ac:dyDescent="0.25">
      <c r="E4" t="s">
        <v>69</v>
      </c>
    </row>
    <row r="6" spans="5:5" x14ac:dyDescent="0.25">
      <c r="E6" t="s">
        <v>70</v>
      </c>
    </row>
    <row r="7" spans="5:5" x14ac:dyDescent="0.25">
      <c r="E7" t="s">
        <v>71</v>
      </c>
    </row>
    <row r="8" spans="5:5" x14ac:dyDescent="0.25">
      <c r="E8" t="s">
        <v>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_LoadCSVFilesProject">
                <anchor moveWithCells="1" sizeWithCells="1">
                  <from>
                    <xdr:col>0</xdr:col>
                    <xdr:colOff>638175</xdr:colOff>
                    <xdr:row>1</xdr:row>
                    <xdr:rowOff>19050</xdr:rowOff>
                  </from>
                  <to>
                    <xdr:col>2</xdr:col>
                    <xdr:colOff>638175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Statistic">
                <anchor moveWithCells="1" sizeWithCells="1">
                  <from>
                    <xdr:col>1</xdr:col>
                    <xdr:colOff>0</xdr:colOff>
                    <xdr:row>5</xdr:row>
                    <xdr:rowOff>28575</xdr:rowOff>
                  </from>
                  <to>
                    <xdr:col>2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334965943BDD4CB456E5D7FED6A05F" ma:contentTypeVersion="5" ma:contentTypeDescription="Create a new document." ma:contentTypeScope="" ma:versionID="d2208378458635a54e61bdfed048f346">
  <xsd:schema xmlns:xsd="http://www.w3.org/2001/XMLSchema" xmlns:xs="http://www.w3.org/2001/XMLSchema" xmlns:p="http://schemas.microsoft.com/office/2006/metadata/properties" xmlns:ns3="c76553ea-00e0-4e1e-aa80-4e172fdde4b5" xmlns:ns4="beaa8a70-c3b2-4652-b65c-1d7be63100df" targetNamespace="http://schemas.microsoft.com/office/2006/metadata/properties" ma:root="true" ma:fieldsID="25991d9503ede8890be49a537931f678" ns3:_="" ns4:_="">
    <xsd:import namespace="c76553ea-00e0-4e1e-aa80-4e172fdde4b5"/>
    <xsd:import namespace="beaa8a70-c3b2-4652-b65c-1d7be63100d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6553ea-00e0-4e1e-aa80-4e172fdde4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a8a70-c3b2-4652-b65c-1d7be63100d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2E6EB7-516F-4A68-84E6-97E21E5D1A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6553ea-00e0-4e1e-aa80-4e172fdde4b5"/>
    <ds:schemaRef ds:uri="beaa8a70-c3b2-4652-b65c-1d7be63100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BB0371-BEBB-4D4D-9F02-0D0E6FFA147C}">
  <ds:schemaRefs>
    <ds:schemaRef ds:uri="http://schemas.microsoft.com/office/2006/documentManagement/types"/>
    <ds:schemaRef ds:uri="c76553ea-00e0-4e1e-aa80-4e172fdde4b5"/>
    <ds:schemaRef ds:uri="http://schemas.microsoft.com/office/2006/metadata/properties"/>
    <ds:schemaRef ds:uri="http://www.w3.org/XML/1998/namespace"/>
    <ds:schemaRef ds:uri="beaa8a70-c3b2-4652-b65c-1d7be63100df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728BA47-534E-4FC7-A198-1B51FDB62AE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 Data</vt:lpstr>
      <vt:lpstr>Data Summary</vt:lpstr>
      <vt:lpstr>Main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rickyhensley</dc:creator>
  <cp:lastModifiedBy>Ricky Hensley</cp:lastModifiedBy>
  <dcterms:created xsi:type="dcterms:W3CDTF">2023-01-26T21:41:17Z</dcterms:created>
  <dcterms:modified xsi:type="dcterms:W3CDTF">2024-03-04T19:14:10Z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0x01010030334965943BDD4CB456E5D7FED6A05F</vt:lpwstr>
  </property>
</Properties>
</file>